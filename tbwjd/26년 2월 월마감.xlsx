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강호은\Desktop\"/>
    </mc:Choice>
  </mc:AlternateContent>
  <xr:revisionPtr revIDLastSave="0" documentId="13_ncr:1_{EDF07B76-10F1-48FD-8A12-87EEA7F77BBE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수당계산(인센티브, 육성보너스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B22" i="1"/>
  <c r="C21" i="1"/>
  <c r="B21" i="1"/>
  <c r="R9" i="1"/>
  <c r="S9" i="1"/>
  <c r="S6" i="1"/>
  <c r="V5" i="1"/>
  <c r="U5" i="1"/>
  <c r="U6" i="1"/>
  <c r="V11" i="1"/>
  <c r="V9" i="1"/>
  <c r="U9" i="1"/>
  <c r="B19" i="1" s="1"/>
  <c r="B24" i="1" s="1"/>
  <c r="U10" i="1"/>
  <c r="U11" i="1"/>
  <c r="F6" i="1"/>
  <c r="C19" i="1"/>
  <c r="C24" i="1"/>
  <c r="D24" i="1"/>
  <c r="V15" i="1"/>
  <c r="S15" i="1"/>
  <c r="R15" i="1"/>
  <c r="G15" i="1"/>
  <c r="B23" i="1"/>
  <c r="C20" i="1"/>
  <c r="B20" i="1"/>
  <c r="D19" i="1"/>
  <c r="F15" i="1"/>
  <c r="G3" i="1"/>
  <c r="F3" i="1"/>
  <c r="G5" i="1"/>
  <c r="F5" i="1"/>
  <c r="G6" i="1"/>
  <c r="U15" i="1" l="1"/>
  <c r="F11" i="1"/>
  <c r="G11" i="1" s="1"/>
</calcChain>
</file>

<file path=xl/sharedStrings.xml><?xml version="1.0" encoding="utf-8"?>
<sst xmlns="http://schemas.openxmlformats.org/spreadsheetml/2006/main" count="78" uniqueCount="36">
  <si>
    <t>직급</t>
  </si>
  <si>
    <t>구분</t>
  </si>
  <si>
    <t>하선 직급자1</t>
  </si>
  <si>
    <t>하선 직급자2</t>
  </si>
  <si>
    <t>하선직급자3</t>
  </si>
  <si>
    <t>ㄴ</t>
  </si>
  <si>
    <t>인센티브</t>
    <phoneticPr fontId="2" type="noConversion"/>
  </si>
  <si>
    <t>육성보너스</t>
    <phoneticPr fontId="2" type="noConversion"/>
  </si>
  <si>
    <t>상위롤업pv</t>
    <phoneticPr fontId="2" type="noConversion"/>
  </si>
  <si>
    <t>롤업대상자 명</t>
    <phoneticPr fontId="2" type="noConversion"/>
  </si>
  <si>
    <t>발생pv</t>
    <phoneticPr fontId="2" type="noConversion"/>
  </si>
  <si>
    <t>육성보너스</t>
    <phoneticPr fontId="2" type="noConversion"/>
  </si>
  <si>
    <t>육성보너스</t>
    <phoneticPr fontId="2" type="noConversion"/>
  </si>
  <si>
    <t>ㄴ</t>
    <phoneticPr fontId="2" type="noConversion"/>
  </si>
  <si>
    <t>본인</t>
    <phoneticPr fontId="2" type="noConversion"/>
  </si>
  <si>
    <t>롤업대상자 명</t>
    <phoneticPr fontId="2" type="noConversion"/>
  </si>
  <si>
    <t>합계</t>
    <phoneticPr fontId="2" type="noConversion"/>
  </si>
  <si>
    <t>ㄴ</t>
    <phoneticPr fontId="2" type="noConversion"/>
  </si>
  <si>
    <t>ㄴ</t>
    <phoneticPr fontId="2" type="noConversion"/>
  </si>
  <si>
    <t>test1111</t>
    <phoneticPr fontId="2" type="noConversion"/>
  </si>
  <si>
    <t>test1114</t>
    <phoneticPr fontId="2" type="noConversion"/>
  </si>
  <si>
    <t>test1113</t>
    <phoneticPr fontId="2" type="noConversion"/>
  </si>
  <si>
    <t>test1118</t>
    <phoneticPr fontId="2" type="noConversion"/>
  </si>
  <si>
    <t>test1123</t>
    <phoneticPr fontId="2" type="noConversion"/>
  </si>
  <si>
    <t>test1122</t>
    <phoneticPr fontId="2" type="noConversion"/>
  </si>
  <si>
    <t>test1121</t>
    <phoneticPr fontId="2" type="noConversion"/>
  </si>
  <si>
    <t>test1112</t>
    <phoneticPr fontId="2" type="noConversion"/>
  </si>
  <si>
    <t>test1117</t>
    <phoneticPr fontId="2" type="noConversion"/>
  </si>
  <si>
    <t>test1129</t>
    <phoneticPr fontId="2" type="noConversion"/>
  </si>
  <si>
    <t>test1128</t>
    <phoneticPr fontId="2" type="noConversion"/>
  </si>
  <si>
    <t>test1127</t>
    <phoneticPr fontId="2" type="noConversion"/>
  </si>
  <si>
    <t>크라운다이아몬드</t>
    <phoneticPr fontId="2" type="noConversion"/>
  </si>
  <si>
    <t>레드다이아몬드</t>
    <phoneticPr fontId="2" type="noConversion"/>
  </si>
  <si>
    <t>블루다이아몬드</t>
    <phoneticPr fontId="2" type="noConversion"/>
  </si>
  <si>
    <t>다이아몬드</t>
    <phoneticPr fontId="2" type="noConversion"/>
  </si>
  <si>
    <t>크라운다이아몬드 보너스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</si>
</sst>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u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41" fontId="3" fillId="2" borderId="1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41" fontId="6" fillId="0" borderId="0" xfId="3" applyFont="1">
      <alignment vertical="center"/>
    </xf>
    <xf numFmtId="41" fontId="6" fillId="0" borderId="0" xfId="0" applyNumberFormat="1" applyFont="1">
      <alignment vertical="center"/>
    </xf>
    <xf numFmtId="41" fontId="3" fillId="3" borderId="6" xfId="1" applyFont="1" applyFill="1" applyBorder="1" applyAlignment="1">
      <alignment horizontal="center"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41" fontId="4" fillId="4" borderId="6" xfId="3" applyFont="1" applyFill="1" applyBorder="1">
      <alignment vertical="center"/>
    </xf>
    <xf numFmtId="41" fontId="6" fillId="4" borderId="6" xfId="3" applyFont="1" applyFill="1" applyBorder="1">
      <alignment vertical="center"/>
    </xf>
    <xf numFmtId="0" fontId="6" fillId="4" borderId="6" xfId="0" applyFont="1" applyFill="1" applyBorder="1">
      <alignment vertical="center"/>
    </xf>
    <xf numFmtId="41" fontId="6" fillId="4" borderId="6" xfId="0" applyNumberFormat="1" applyFont="1" applyFill="1" applyBorder="1">
      <alignment vertical="center"/>
    </xf>
    <xf numFmtId="0" fontId="6" fillId="4" borderId="7" xfId="0" applyFont="1" applyFill="1" applyBorder="1">
      <alignment vertical="center"/>
    </xf>
    <xf numFmtId="41" fontId="3" fillId="3" borderId="6" xfId="1" applyFont="1" applyFill="1" applyBorder="1" applyAlignment="1">
      <alignment vertical="center"/>
    </xf>
    <xf numFmtId="41" fontId="6" fillId="4" borderId="7" xfId="0" applyNumberFormat="1" applyFont="1" applyFill="1" applyBorder="1">
      <alignment vertical="center"/>
    </xf>
    <xf numFmtId="0" fontId="6" fillId="4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3" fillId="3" borderId="6" xfId="1" applyFont="1" applyFill="1" applyBorder="1" applyAlignment="1">
      <alignment horizontal="right" vertical="center"/>
    </xf>
    <xf numFmtId="41" fontId="3" fillId="3" borderId="6" xfId="1" applyFont="1" applyFill="1" applyBorder="1" applyAlignment="1">
      <alignment horizontal="left" vertical="center"/>
    </xf>
    <xf numFmtId="41" fontId="3" fillId="3" borderId="3" xfId="1" applyFont="1" applyFill="1" applyBorder="1" applyAlignment="1">
      <alignment horizontal="center" vertical="center"/>
    </xf>
    <xf numFmtId="41" fontId="6" fillId="4" borderId="3" xfId="3" applyFont="1" applyFill="1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>
      <alignment vertical="center"/>
    </xf>
    <xf numFmtId="0" fontId="6" fillId="4" borderId="4" xfId="0" applyFont="1" applyFill="1" applyBorder="1">
      <alignment vertical="center"/>
    </xf>
    <xf numFmtId="41" fontId="4" fillId="4" borderId="3" xfId="3" applyFont="1" applyFill="1" applyBorder="1">
      <alignment vertical="center"/>
    </xf>
    <xf numFmtId="41" fontId="6" fillId="5" borderId="6" xfId="3" applyFont="1" applyFill="1" applyBorder="1">
      <alignment vertical="center"/>
    </xf>
    <xf numFmtId="41" fontId="6" fillId="5" borderId="6" xfId="0" applyNumberFormat="1" applyFont="1" applyFill="1" applyBorder="1">
      <alignment vertical="center"/>
    </xf>
    <xf numFmtId="41" fontId="6" fillId="5" borderId="7" xfId="0" applyNumberFormat="1" applyFont="1" applyFill="1" applyBorder="1">
      <alignment vertical="center"/>
    </xf>
    <xf numFmtId="41" fontId="3" fillId="3" borderId="8" xfId="1" applyFont="1" applyFill="1" applyBorder="1" applyAlignment="1">
      <alignment horizontal="left" vertical="center"/>
    </xf>
    <xf numFmtId="41" fontId="3" fillId="3" borderId="8" xfId="1" applyFont="1" applyFill="1" applyBorder="1" applyAlignment="1">
      <alignment horizontal="center" vertical="center"/>
    </xf>
    <xf numFmtId="41" fontId="4" fillId="4" borderId="8" xfId="3" applyFont="1" applyFill="1" applyBorder="1">
      <alignment vertical="center"/>
    </xf>
    <xf numFmtId="41" fontId="6" fillId="4" borderId="8" xfId="3" applyFont="1" applyFill="1" applyBorder="1">
      <alignment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8" xfId="0" applyFont="1" applyFill="1" applyBorder="1">
      <alignment vertical="center"/>
    </xf>
    <xf numFmtId="41" fontId="3" fillId="3" borderId="8" xfId="1" applyFont="1" applyFill="1" applyBorder="1" applyAlignment="1">
      <alignment horizontal="right" vertical="center"/>
    </xf>
    <xf numFmtId="41" fontId="6" fillId="5" borderId="3" xfId="3" applyFont="1" applyFill="1" applyBorder="1">
      <alignment vertical="center"/>
    </xf>
    <xf numFmtId="41" fontId="6" fillId="4" borderId="8" xfId="0" applyNumberFormat="1" applyFont="1" applyFill="1" applyBorder="1">
      <alignment vertical="center"/>
    </xf>
    <xf numFmtId="41" fontId="6" fillId="4" borderId="9" xfId="0" applyNumberFormat="1" applyFont="1" applyFill="1" applyBorder="1">
      <alignment vertical="center"/>
    </xf>
    <xf numFmtId="41" fontId="3" fillId="3" borderId="6" xfId="1" applyFont="1" applyFill="1" applyBorder="1" applyAlignment="1">
      <alignment horizontal="left" vertical="center"/>
    </xf>
    <xf numFmtId="41" fontId="3" fillId="3" borderId="3" xfId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41" fontId="6" fillId="0" borderId="6" xfId="0" applyNumberFormat="1" applyFont="1" applyBorder="1">
      <alignment vertical="center"/>
    </xf>
    <xf numFmtId="0" fontId="6" fillId="0" borderId="10" xfId="0" applyFont="1" applyBorder="1">
      <alignment vertical="center"/>
    </xf>
    <xf numFmtId="41" fontId="6" fillId="0" borderId="11" xfId="0" applyNumberFormat="1" applyFont="1" applyBorder="1">
      <alignment vertical="center"/>
    </xf>
    <xf numFmtId="0" fontId="6" fillId="0" borderId="12" xfId="0" applyFont="1" applyBorder="1">
      <alignment vertical="center"/>
    </xf>
    <xf numFmtId="43" fontId="6" fillId="0" borderId="0" xfId="0" applyNumberFormat="1" applyFont="1">
      <alignment vertical="center"/>
    </xf>
  </cellXfs>
  <cellStyles count="4">
    <cellStyle name="쉼표 [0]" xfId="3" builtinId="6"/>
    <cellStyle name="쉼표 [0] 2" xfId="1" xr:uid="{00000000-0005-0000-0000-000002000000}"/>
    <cellStyle name="표준" xfId="0" builtinId="0"/>
    <cellStyle name="표준 2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V29"/>
  <sheetViews>
    <sheetView tabSelected="1" workbookViewId="0">
      <pane ySplit="2" topLeftCell="A3" activePane="bottomLeft" state="frozen"/>
      <selection pane="bottomLeft" activeCell="G24" sqref="G24"/>
    </sheetView>
  </sheetViews>
  <sheetFormatPr defaultRowHeight="13.5" x14ac:dyDescent="0.3"/>
  <cols>
    <col min="1" max="1" width="7.625" style="2" bestFit="1" customWidth="1"/>
    <col min="2" max="2" width="12.75" style="2" bestFit="1" customWidth="1"/>
    <col min="3" max="3" width="14.125" style="2" bestFit="1" customWidth="1"/>
    <col min="4" max="4" width="12.125" style="2" bestFit="1" customWidth="1"/>
    <col min="5" max="5" width="16.375" style="2" bestFit="1" customWidth="1"/>
    <col min="6" max="6" width="13.125" style="2" bestFit="1" customWidth="1"/>
    <col min="7" max="7" width="15.375" style="2" bestFit="1" customWidth="1"/>
    <col min="8" max="8" width="11" style="2" bestFit="1" customWidth="1"/>
    <col min="9" max="9" width="11" style="2" customWidth="1"/>
    <col min="10" max="12" width="11" style="2" hidden="1" customWidth="1"/>
    <col min="13" max="13" width="12" style="2" hidden="1" customWidth="1"/>
    <col min="14" max="16" width="11.875" style="2" hidden="1" customWidth="1"/>
    <col min="17" max="17" width="17.125" style="16" bestFit="1" customWidth="1"/>
    <col min="18" max="18" width="11" style="2" bestFit="1" customWidth="1"/>
    <col min="19" max="19" width="10.875" style="2" customWidth="1"/>
    <col min="20" max="20" width="13.5" style="16" bestFit="1" customWidth="1"/>
    <col min="21" max="21" width="12.875" style="2" bestFit="1" customWidth="1"/>
    <col min="22" max="22" width="9.5" style="2" bestFit="1" customWidth="1"/>
    <col min="23" max="16384" width="9" style="2"/>
  </cols>
  <sheetData>
    <row r="1" spans="1:22" x14ac:dyDescent="0.3">
      <c r="A1" s="41" t="s">
        <v>1</v>
      </c>
      <c r="B1" s="41" t="s">
        <v>2</v>
      </c>
      <c r="C1" s="41" t="s">
        <v>3</v>
      </c>
      <c r="D1" s="41" t="s">
        <v>4</v>
      </c>
      <c r="E1" s="41" t="s">
        <v>0</v>
      </c>
      <c r="F1" s="40" t="s">
        <v>14</v>
      </c>
      <c r="G1" s="40"/>
      <c r="H1" s="40"/>
      <c r="I1" s="41" t="s">
        <v>8</v>
      </c>
      <c r="J1" s="40" t="s">
        <v>34</v>
      </c>
      <c r="K1" s="40"/>
      <c r="L1" s="40"/>
      <c r="M1" s="41" t="s">
        <v>8</v>
      </c>
      <c r="N1" s="40" t="s">
        <v>33</v>
      </c>
      <c r="O1" s="40"/>
      <c r="P1" s="40"/>
      <c r="Q1" s="40" t="s">
        <v>32</v>
      </c>
      <c r="R1" s="40"/>
      <c r="S1" s="40"/>
      <c r="T1" s="40" t="s">
        <v>31</v>
      </c>
      <c r="U1" s="40"/>
      <c r="V1" s="40"/>
    </row>
    <row r="2" spans="1:22" x14ac:dyDescent="0.3">
      <c r="A2" s="41"/>
      <c r="B2" s="41"/>
      <c r="C2" s="41"/>
      <c r="D2" s="41"/>
      <c r="E2" s="41"/>
      <c r="F2" s="1" t="s">
        <v>10</v>
      </c>
      <c r="G2" s="1" t="s">
        <v>6</v>
      </c>
      <c r="H2" s="1" t="s">
        <v>7</v>
      </c>
      <c r="I2" s="41"/>
      <c r="J2" s="1" t="s">
        <v>9</v>
      </c>
      <c r="K2" s="1" t="s">
        <v>6</v>
      </c>
      <c r="L2" s="1" t="s">
        <v>7</v>
      </c>
      <c r="M2" s="41"/>
      <c r="N2" s="1" t="s">
        <v>9</v>
      </c>
      <c r="O2" s="1" t="s">
        <v>6</v>
      </c>
      <c r="P2" s="1" t="s">
        <v>12</v>
      </c>
      <c r="Q2" s="1" t="s">
        <v>15</v>
      </c>
      <c r="R2" s="1" t="s">
        <v>6</v>
      </c>
      <c r="S2" s="1" t="s">
        <v>12</v>
      </c>
      <c r="T2" s="1" t="s">
        <v>9</v>
      </c>
      <c r="U2" s="1" t="s">
        <v>6</v>
      </c>
      <c r="V2" s="1" t="s">
        <v>11</v>
      </c>
    </row>
    <row r="3" spans="1:22" x14ac:dyDescent="0.3">
      <c r="A3" s="39" t="s">
        <v>19</v>
      </c>
      <c r="B3" s="39"/>
      <c r="C3" s="39"/>
      <c r="D3" s="39"/>
      <c r="E3" s="19" t="s">
        <v>31</v>
      </c>
      <c r="F3" s="24">
        <f>(1330000+1332200+1330000)</f>
        <v>3992200</v>
      </c>
      <c r="G3" s="35">
        <f>F3*23%</f>
        <v>918206</v>
      </c>
      <c r="H3" s="20"/>
      <c r="I3" s="20"/>
      <c r="J3" s="20"/>
      <c r="K3" s="20"/>
      <c r="L3" s="20"/>
      <c r="M3" s="20"/>
      <c r="N3" s="20"/>
      <c r="O3" s="20"/>
      <c r="P3" s="20"/>
      <c r="Q3" s="21"/>
      <c r="R3" s="22"/>
      <c r="S3" s="22"/>
      <c r="T3" s="21"/>
      <c r="U3" s="22"/>
      <c r="V3" s="23"/>
    </row>
    <row r="4" spans="1:22" x14ac:dyDescent="0.3">
      <c r="A4" s="34" t="s">
        <v>13</v>
      </c>
      <c r="B4" s="28" t="s">
        <v>20</v>
      </c>
      <c r="C4" s="28"/>
      <c r="D4" s="28"/>
      <c r="E4" s="29" t="s">
        <v>32</v>
      </c>
      <c r="F4" s="30"/>
      <c r="G4" s="31"/>
      <c r="H4" s="31"/>
      <c r="I4" s="31"/>
      <c r="J4" s="31"/>
      <c r="K4" s="31"/>
      <c r="L4" s="31"/>
      <c r="M4" s="31"/>
      <c r="N4" s="31"/>
      <c r="O4" s="31"/>
      <c r="P4" s="31"/>
      <c r="Q4" s="32"/>
      <c r="R4" s="33"/>
      <c r="S4" s="33"/>
      <c r="T4" s="15"/>
      <c r="U4" s="36"/>
      <c r="V4" s="37"/>
    </row>
    <row r="5" spans="1:22" x14ac:dyDescent="0.3">
      <c r="A5" s="17" t="s">
        <v>17</v>
      </c>
      <c r="B5" s="18" t="s">
        <v>21</v>
      </c>
      <c r="C5" s="18"/>
      <c r="D5" s="18"/>
      <c r="E5" s="29" t="s">
        <v>32</v>
      </c>
      <c r="F5" s="8">
        <f>(13200+13200+2200)</f>
        <v>28600</v>
      </c>
      <c r="G5" s="25">
        <f>F5*21%</f>
        <v>6006</v>
      </c>
      <c r="H5" s="9"/>
      <c r="I5" s="9"/>
      <c r="J5" s="9"/>
      <c r="K5" s="9"/>
      <c r="L5" s="9"/>
      <c r="M5" s="9"/>
      <c r="N5" s="9"/>
      <c r="O5" s="9"/>
      <c r="P5" s="9"/>
      <c r="Q5" s="15"/>
      <c r="R5" s="10"/>
      <c r="S5" s="10"/>
      <c r="T5" s="15" t="s">
        <v>19</v>
      </c>
      <c r="U5" s="26">
        <f>F5*2%</f>
        <v>572</v>
      </c>
      <c r="V5" s="27">
        <f>G5*20%</f>
        <v>1201.2</v>
      </c>
    </row>
    <row r="6" spans="1:22" x14ac:dyDescent="0.3">
      <c r="A6" s="17"/>
      <c r="B6" s="17" t="s">
        <v>18</v>
      </c>
      <c r="C6" s="18" t="s">
        <v>22</v>
      </c>
      <c r="D6" s="18"/>
      <c r="E6" s="29" t="s">
        <v>32</v>
      </c>
      <c r="F6" s="8">
        <f>(315400+92400+346200)</f>
        <v>754000</v>
      </c>
      <c r="G6" s="25">
        <f>F6*21%</f>
        <v>158340</v>
      </c>
      <c r="H6" s="9"/>
      <c r="I6" s="9"/>
      <c r="J6" s="9"/>
      <c r="K6" s="9"/>
      <c r="L6" s="9"/>
      <c r="M6" s="9"/>
      <c r="N6" s="9"/>
      <c r="O6" s="9"/>
      <c r="P6" s="9"/>
      <c r="Q6" s="15" t="s">
        <v>21</v>
      </c>
      <c r="R6" s="10"/>
      <c r="S6" s="26">
        <f>G6*20%</f>
        <v>31668</v>
      </c>
      <c r="T6" s="15" t="s">
        <v>19</v>
      </c>
      <c r="U6" s="26">
        <f>F6*2%</f>
        <v>15080</v>
      </c>
      <c r="V6" s="12"/>
    </row>
    <row r="7" spans="1:22" x14ac:dyDescent="0.3">
      <c r="A7" s="18"/>
      <c r="B7" s="17"/>
      <c r="C7" s="17" t="s">
        <v>13</v>
      </c>
      <c r="D7" s="13" t="s">
        <v>23</v>
      </c>
      <c r="E7" s="5" t="s">
        <v>33</v>
      </c>
      <c r="F7" s="8"/>
      <c r="G7" s="9"/>
      <c r="H7" s="9"/>
      <c r="I7" s="8"/>
      <c r="J7" s="9"/>
      <c r="K7" s="9"/>
      <c r="L7" s="9"/>
      <c r="M7" s="8"/>
      <c r="N7" s="9"/>
      <c r="O7" s="9"/>
      <c r="P7" s="9"/>
      <c r="Q7" s="15"/>
      <c r="R7" s="10"/>
      <c r="S7" s="10"/>
      <c r="T7" s="15"/>
      <c r="U7" s="11"/>
      <c r="V7" s="12"/>
    </row>
    <row r="8" spans="1:22" x14ac:dyDescent="0.3">
      <c r="A8" s="17"/>
      <c r="B8" s="13"/>
      <c r="C8" s="17" t="s">
        <v>13</v>
      </c>
      <c r="D8" s="13" t="s">
        <v>24</v>
      </c>
      <c r="E8" s="5" t="s">
        <v>34</v>
      </c>
      <c r="F8" s="8"/>
      <c r="G8" s="9"/>
      <c r="H8" s="9"/>
      <c r="I8" s="8"/>
      <c r="J8" s="9"/>
      <c r="K8" s="9"/>
      <c r="L8" s="9"/>
      <c r="M8" s="8"/>
      <c r="N8" s="9"/>
      <c r="O8" s="9"/>
      <c r="P8" s="9"/>
      <c r="Q8" s="15"/>
      <c r="R8" s="10"/>
      <c r="S8" s="10"/>
      <c r="T8" s="15"/>
      <c r="U8" s="11"/>
      <c r="V8" s="12"/>
    </row>
    <row r="9" spans="1:22" x14ac:dyDescent="0.3">
      <c r="A9" s="17"/>
      <c r="B9" s="17"/>
      <c r="C9" s="17" t="s">
        <v>13</v>
      </c>
      <c r="D9" s="13" t="s">
        <v>25</v>
      </c>
      <c r="E9" s="5" t="s">
        <v>33</v>
      </c>
      <c r="F9" s="8">
        <v>6600</v>
      </c>
      <c r="G9" s="25">
        <f>F9*17%</f>
        <v>1122</v>
      </c>
      <c r="H9" s="9"/>
      <c r="I9" s="8"/>
      <c r="J9" s="9"/>
      <c r="K9" s="9"/>
      <c r="L9" s="9"/>
      <c r="M9" s="8"/>
      <c r="N9" s="9"/>
      <c r="O9" s="9"/>
      <c r="P9" s="9"/>
      <c r="Q9" s="15" t="s">
        <v>22</v>
      </c>
      <c r="R9" s="26">
        <f>F9*4%</f>
        <v>264</v>
      </c>
      <c r="S9" s="26">
        <f>G9*20%</f>
        <v>224.4</v>
      </c>
      <c r="T9" s="15" t="s">
        <v>19</v>
      </c>
      <c r="U9" s="26">
        <f>F9*2%</f>
        <v>132</v>
      </c>
      <c r="V9" s="27">
        <f>R9*20%</f>
        <v>52.800000000000004</v>
      </c>
    </row>
    <row r="10" spans="1:22" x14ac:dyDescent="0.3">
      <c r="A10" s="17" t="s">
        <v>5</v>
      </c>
      <c r="B10" s="38" t="s">
        <v>26</v>
      </c>
      <c r="C10" s="38"/>
      <c r="D10" s="38"/>
      <c r="E10" s="29" t="s">
        <v>32</v>
      </c>
      <c r="F10" s="8">
        <v>6600</v>
      </c>
      <c r="G10" s="9"/>
      <c r="H10" s="9"/>
      <c r="I10" s="8">
        <v>6600</v>
      </c>
      <c r="J10" s="9"/>
      <c r="K10" s="9"/>
      <c r="L10" s="9"/>
      <c r="M10" s="8"/>
      <c r="N10" s="9"/>
      <c r="O10" s="9"/>
      <c r="P10" s="9"/>
      <c r="Q10" s="15"/>
      <c r="R10" s="10"/>
      <c r="S10" s="10"/>
      <c r="T10" s="15" t="s">
        <v>19</v>
      </c>
      <c r="U10" s="26">
        <f>I10*23%</f>
        <v>1518</v>
      </c>
      <c r="V10" s="12"/>
    </row>
    <row r="11" spans="1:22" x14ac:dyDescent="0.3">
      <c r="A11" s="17"/>
      <c r="B11" s="17" t="s">
        <v>13</v>
      </c>
      <c r="C11" s="13" t="s">
        <v>27</v>
      </c>
      <c r="D11" s="13"/>
      <c r="E11" s="5" t="s">
        <v>33</v>
      </c>
      <c r="F11" s="8">
        <f>(70000+70000+22000)</f>
        <v>162000</v>
      </c>
      <c r="G11" s="25">
        <f>F11*17%</f>
        <v>27540.000000000004</v>
      </c>
      <c r="H11" s="9"/>
      <c r="I11" s="8"/>
      <c r="J11" s="9"/>
      <c r="K11" s="9"/>
      <c r="L11" s="9"/>
      <c r="M11" s="8"/>
      <c r="N11" s="9"/>
      <c r="O11" s="9"/>
      <c r="P11" s="9"/>
      <c r="Q11" s="15"/>
      <c r="R11" s="10"/>
      <c r="S11" s="10"/>
      <c r="T11" s="15" t="s">
        <v>19</v>
      </c>
      <c r="U11" s="26">
        <f>F11*6%</f>
        <v>9720</v>
      </c>
      <c r="V11" s="27">
        <f>G11*20%</f>
        <v>5508.0000000000009</v>
      </c>
    </row>
    <row r="12" spans="1:22" x14ac:dyDescent="0.3">
      <c r="A12" s="17"/>
      <c r="B12" s="17"/>
      <c r="C12" s="17" t="s">
        <v>13</v>
      </c>
      <c r="D12" s="13" t="s">
        <v>28</v>
      </c>
      <c r="E12" s="5" t="s">
        <v>34</v>
      </c>
      <c r="F12" s="8"/>
      <c r="G12" s="9"/>
      <c r="H12" s="9"/>
      <c r="I12" s="9"/>
      <c r="J12" s="9"/>
      <c r="K12" s="9"/>
      <c r="L12" s="9"/>
      <c r="M12" s="8"/>
      <c r="N12" s="9"/>
      <c r="O12" s="9"/>
      <c r="P12" s="9"/>
      <c r="Q12" s="15"/>
      <c r="R12" s="10"/>
      <c r="S12" s="10"/>
      <c r="T12" s="15"/>
      <c r="U12" s="11"/>
      <c r="V12" s="14"/>
    </row>
    <row r="13" spans="1:22" x14ac:dyDescent="0.3">
      <c r="A13" s="17"/>
      <c r="B13" s="13"/>
      <c r="C13" s="17" t="s">
        <v>13</v>
      </c>
      <c r="D13" s="13" t="s">
        <v>29</v>
      </c>
      <c r="E13" s="5" t="s">
        <v>34</v>
      </c>
      <c r="F13" s="8"/>
      <c r="G13" s="9"/>
      <c r="H13" s="9"/>
      <c r="I13" s="8"/>
      <c r="J13" s="9"/>
      <c r="K13" s="9"/>
      <c r="L13" s="9"/>
      <c r="M13" s="9"/>
      <c r="N13" s="9"/>
      <c r="O13" s="9"/>
      <c r="P13" s="9"/>
      <c r="Q13" s="15"/>
      <c r="R13" s="10"/>
      <c r="S13" s="10"/>
      <c r="T13" s="15"/>
      <c r="U13" s="11"/>
      <c r="V13" s="14"/>
    </row>
    <row r="14" spans="1:22" x14ac:dyDescent="0.3">
      <c r="A14" s="17"/>
      <c r="B14" s="17"/>
      <c r="C14" s="17" t="s">
        <v>13</v>
      </c>
      <c r="D14" s="13" t="s">
        <v>30</v>
      </c>
      <c r="E14" s="5" t="s">
        <v>34</v>
      </c>
      <c r="F14" s="8"/>
      <c r="G14" s="9"/>
      <c r="H14" s="9"/>
      <c r="I14" s="9"/>
      <c r="J14" s="9"/>
      <c r="K14" s="9"/>
      <c r="L14" s="9"/>
      <c r="M14" s="8"/>
      <c r="N14" s="9"/>
      <c r="O14" s="9"/>
      <c r="P14" s="9"/>
      <c r="Q14" s="15"/>
      <c r="R14" s="10"/>
      <c r="S14" s="10"/>
      <c r="T14" s="15"/>
      <c r="U14" s="11"/>
      <c r="V14" s="14"/>
    </row>
    <row r="15" spans="1:22" x14ac:dyDescent="0.3">
      <c r="F15" s="4">
        <f>SUM(F3:F14)</f>
        <v>4950000</v>
      </c>
      <c r="G15" s="4">
        <f>SUM(G3:G14)</f>
        <v>1111214</v>
      </c>
      <c r="R15" s="2">
        <f>SUM(R3:R14)</f>
        <v>264</v>
      </c>
      <c r="S15" s="4">
        <f>SUM(S3:S14)</f>
        <v>31892.400000000001</v>
      </c>
      <c r="U15" s="4">
        <f>SUM(U3:U14)</f>
        <v>27022</v>
      </c>
      <c r="V15" s="2">
        <f>SUM(V3:V14)</f>
        <v>6762.0000000000009</v>
      </c>
    </row>
    <row r="16" spans="1:22" x14ac:dyDescent="0.3">
      <c r="F16" s="3"/>
    </row>
    <row r="17" spans="1:13" x14ac:dyDescent="0.3">
      <c r="F17" s="3"/>
      <c r="G17" s="4"/>
      <c r="H17" s="4"/>
      <c r="I17" s="4"/>
      <c r="J17" s="4"/>
      <c r="K17" s="4"/>
      <c r="L17" s="4"/>
      <c r="M17" s="4"/>
    </row>
    <row r="18" spans="1:13" x14ac:dyDescent="0.3">
      <c r="A18" s="42"/>
      <c r="B18" s="43" t="s">
        <v>6</v>
      </c>
      <c r="C18" s="43" t="s">
        <v>7</v>
      </c>
      <c r="D18" s="43" t="s">
        <v>35</v>
      </c>
      <c r="E18" s="44"/>
    </row>
    <row r="19" spans="1:13" x14ac:dyDescent="0.3">
      <c r="A19" s="45" t="s">
        <v>19</v>
      </c>
      <c r="B19" s="46">
        <f>G3+SUM(U5:U11)</f>
        <v>945228</v>
      </c>
      <c r="C19" s="46">
        <f>SUM(V5:V11)</f>
        <v>6762.0000000000009</v>
      </c>
      <c r="D19" s="46">
        <f>F15*1%</f>
        <v>49500</v>
      </c>
      <c r="E19" s="7"/>
    </row>
    <row r="20" spans="1:13" x14ac:dyDescent="0.3">
      <c r="A20" s="45" t="s">
        <v>21</v>
      </c>
      <c r="B20" s="46">
        <f>G5</f>
        <v>6006</v>
      </c>
      <c r="C20" s="46">
        <f>S6</f>
        <v>31668</v>
      </c>
      <c r="D20" s="6"/>
      <c r="E20" s="7"/>
    </row>
    <row r="21" spans="1:13" x14ac:dyDescent="0.3">
      <c r="A21" s="45" t="s">
        <v>22</v>
      </c>
      <c r="B21" s="46">
        <f>G6+R9</f>
        <v>158604</v>
      </c>
      <c r="C21" s="46">
        <f>S9</f>
        <v>224.4</v>
      </c>
      <c r="D21" s="6"/>
      <c r="E21" s="7"/>
    </row>
    <row r="22" spans="1:13" x14ac:dyDescent="0.3">
      <c r="A22" s="45" t="s">
        <v>25</v>
      </c>
      <c r="B22" s="46">
        <f>G9</f>
        <v>1122</v>
      </c>
      <c r="C22" s="6"/>
      <c r="D22" s="6"/>
      <c r="E22" s="7"/>
    </row>
    <row r="23" spans="1:13" x14ac:dyDescent="0.3">
      <c r="A23" s="45" t="s">
        <v>27</v>
      </c>
      <c r="B23" s="46">
        <f>G11</f>
        <v>27540.000000000004</v>
      </c>
      <c r="C23" s="6"/>
      <c r="D23" s="6"/>
      <c r="E23" s="7"/>
    </row>
    <row r="24" spans="1:13" x14ac:dyDescent="0.3">
      <c r="A24" s="47" t="s">
        <v>16</v>
      </c>
      <c r="B24" s="48">
        <f>SUM(B19:B23)</f>
        <v>1138500</v>
      </c>
      <c r="C24" s="48">
        <f t="shared" ref="C24:D24" si="0">SUM(C19:C23)</f>
        <v>38654.400000000001</v>
      </c>
      <c r="D24" s="48">
        <f t="shared" si="0"/>
        <v>49500</v>
      </c>
      <c r="E24" s="49"/>
    </row>
    <row r="27" spans="1:13" x14ac:dyDescent="0.3">
      <c r="D27" s="4"/>
    </row>
    <row r="29" spans="1:13" x14ac:dyDescent="0.3">
      <c r="D29" s="50"/>
    </row>
  </sheetData>
  <mergeCells count="14">
    <mergeCell ref="Q1:S1"/>
    <mergeCell ref="T1:V1"/>
    <mergeCell ref="F1:H1"/>
    <mergeCell ref="M1:M2"/>
    <mergeCell ref="N1:P1"/>
    <mergeCell ref="E1:E2"/>
    <mergeCell ref="D1:D2"/>
    <mergeCell ref="C1:C2"/>
    <mergeCell ref="B1:B2"/>
    <mergeCell ref="A1:A2"/>
    <mergeCell ref="I1:I2"/>
    <mergeCell ref="J1:L1"/>
    <mergeCell ref="B10:D10"/>
    <mergeCell ref="A3:D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수당계산(인센티브, 육성보너스)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RisingStar</dc:creator>
  <cp:lastModifiedBy>강호은</cp:lastModifiedBy>
  <dcterms:created xsi:type="dcterms:W3CDTF">2024-06-05T08:28:22Z</dcterms:created>
  <dcterms:modified xsi:type="dcterms:W3CDTF">2026-02-27T05:54:32Z</dcterms:modified>
</cp:coreProperties>
</file>